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ysu\Downloads\"/>
    </mc:Choice>
  </mc:AlternateContent>
  <xr:revisionPtr revIDLastSave="0" documentId="11_F8C5F75DCCBBBD72A9968D8A6FEC2185BA5171D0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w Data (USD Millions)" sheetId="1" r:id="rId1"/>
    <sheet name="YoY Growth &amp; Ratios" sheetId="2" r:id="rId2"/>
    <sheet name="Company Summa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3" l="1"/>
  <c r="E25" i="3"/>
  <c r="F24" i="3"/>
  <c r="E24" i="3"/>
  <c r="F23" i="3"/>
  <c r="E23" i="3"/>
  <c r="F22" i="3"/>
  <c r="E22" i="3"/>
  <c r="F21" i="3"/>
  <c r="E21" i="3"/>
  <c r="F17" i="3"/>
  <c r="E17" i="3"/>
  <c r="F16" i="3"/>
  <c r="E16" i="3"/>
  <c r="F15" i="3"/>
  <c r="E15" i="3"/>
  <c r="F14" i="3"/>
  <c r="E14" i="3"/>
  <c r="F13" i="3"/>
  <c r="E13" i="3"/>
  <c r="F9" i="3"/>
  <c r="E9" i="3"/>
  <c r="F8" i="3"/>
  <c r="E8" i="3"/>
  <c r="F7" i="3"/>
  <c r="E7" i="3"/>
  <c r="F6" i="3"/>
  <c r="E6" i="3"/>
  <c r="F5" i="3"/>
  <c r="E5" i="3"/>
  <c r="L11" i="2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K7" i="2"/>
  <c r="J7" i="2"/>
  <c r="I7" i="2"/>
  <c r="H7" i="2"/>
  <c r="G7" i="2"/>
  <c r="F7" i="2"/>
  <c r="E7" i="2"/>
  <c r="D7" i="2"/>
  <c r="C7" i="2"/>
  <c r="B7" i="2"/>
  <c r="A7" i="2"/>
  <c r="L6" i="2"/>
  <c r="K6" i="2"/>
  <c r="J6" i="2"/>
  <c r="I6" i="2"/>
  <c r="H6" i="2"/>
  <c r="D6" i="2"/>
  <c r="C6" i="2"/>
  <c r="B6" i="2"/>
  <c r="A6" i="2"/>
  <c r="L5" i="2"/>
  <c r="K5" i="2"/>
  <c r="J5" i="2"/>
  <c r="I5" i="2"/>
  <c r="H5" i="2"/>
  <c r="G5" i="2"/>
  <c r="F5" i="2"/>
  <c r="E5" i="2"/>
  <c r="D5" i="2"/>
  <c r="C5" i="2"/>
  <c r="B5" i="2"/>
  <c r="A5" i="2"/>
  <c r="L4" i="2"/>
  <c r="K4" i="2"/>
  <c r="J4" i="2"/>
  <c r="I4" i="2"/>
  <c r="H4" i="2"/>
  <c r="G4" i="2"/>
  <c r="F4" i="2"/>
  <c r="E4" i="2"/>
  <c r="D4" i="2"/>
  <c r="C4" i="2"/>
  <c r="B4" i="2"/>
  <c r="A4" i="2"/>
  <c r="L3" i="2"/>
  <c r="K3" i="2"/>
  <c r="J3" i="2"/>
  <c r="I3" i="2"/>
  <c r="H3" i="2"/>
  <c r="D3" i="2"/>
  <c r="C3" i="2"/>
  <c r="B3" i="2"/>
  <c r="A3" i="2"/>
</calcChain>
</file>

<file path=xl/sharedStrings.xml><?xml version="1.0" encoding="utf-8"?>
<sst xmlns="http://schemas.openxmlformats.org/spreadsheetml/2006/main" count="108" uniqueCount="45">
  <si>
    <t>BCG X — GFC AI Chatbot Project | 10-K Financial Data Extract (FY2022–FY2024) | All figures in USD Millions</t>
  </si>
  <si>
    <t>Company</t>
  </si>
  <si>
    <t>Ticker</t>
  </si>
  <si>
    <t>FY End</t>
  </si>
  <si>
    <t>Fiscal Year</t>
  </si>
  <si>
    <t>Total Revenue</t>
  </si>
  <si>
    <t>Net Income</t>
  </si>
  <si>
    <t>Total Assets</t>
  </si>
  <si>
    <t>Total Liabilities</t>
  </si>
  <si>
    <t>Cash Flow from Operations</t>
  </si>
  <si>
    <t>Microsoft</t>
  </si>
  <si>
    <t>MSFT</t>
  </si>
  <si>
    <t>June 30</t>
  </si>
  <si>
    <t>2022</t>
  </si>
  <si>
    <t>2023</t>
  </si>
  <si>
    <t>2024</t>
  </si>
  <si>
    <t>Apple</t>
  </si>
  <si>
    <t>AAPL</t>
  </si>
  <si>
    <t>September 30</t>
  </si>
  <si>
    <t>Tesla</t>
  </si>
  <si>
    <t>TSLA</t>
  </si>
  <si>
    <t>December 31</t>
  </si>
  <si>
    <t>Source: SEC EDGAR 10-K Annual Filings | Microsoft: CIK 789019 | Apple: CIK 320193 | Tesla: CIK 1318605</t>
  </si>
  <si>
    <t>BCG X — YoY Growth Rates &amp; Financial Ratios | Formulas linked from Raw Data sheet</t>
  </si>
  <si>
    <t>Revenue Growth %</t>
  </si>
  <si>
    <t>Net Income Growth %</t>
  </si>
  <si>
    <t>Assets Growth %</t>
  </si>
  <si>
    <t>Net Profit Margin %</t>
  </si>
  <si>
    <t>Debt Ratio</t>
  </si>
  <si>
    <t>ROA %</t>
  </si>
  <si>
    <t>OCF/Revenue %</t>
  </si>
  <si>
    <t>Equity (USD Mn)</t>
  </si>
  <si>
    <t>-</t>
  </si>
  <si>
    <t>Black = formula | Blue = hardcoded input | Source: SEC EDGAR 10-K (Microsoft CIK 789019, Apple CIK 320193, Tesla CIK 1318605)</t>
  </si>
  <si>
    <t>BCG X — 3-Year Financial Summary by Company | FY2022–FY2024</t>
  </si>
  <si>
    <t>Microsoft  (MSFT) — Fiscal Year End: June 30</t>
  </si>
  <si>
    <t>Metric</t>
  </si>
  <si>
    <t>FY2022</t>
  </si>
  <si>
    <t>FY2023</t>
  </si>
  <si>
    <t>FY2024</t>
  </si>
  <si>
    <t>FY23 YoY %</t>
  </si>
  <si>
    <t>FY24 YoY %</t>
  </si>
  <si>
    <t>Apple  (AAPL) — Fiscal Year End: September 30</t>
  </si>
  <si>
    <t>Tesla  (TSLA) — Fiscal Year End: December 31</t>
  </si>
  <si>
    <t>Source: SEC EDGAR 10-K Annual Filings | All figures USD Millions | Blue = input | Black =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</si>
</sst>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;\(0.00\);\-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i/>
      <sz val="8"/>
      <color rgb="FF595959"/>
      <name val="Arial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sz val="9"/>
      <color rgb="FF0000FF"/>
      <name val="Arial"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164" fontId="9" fillId="5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/>
    <xf numFmtId="164" fontId="9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zoomScale="182" workbookViewId="0">
      <pane xSplit="3" ySplit="2" topLeftCell="E3" activePane="bottomRight" state="frozen"/>
      <selection pane="topRight"/>
      <selection pane="bottomLeft"/>
      <selection pane="bottomRight" activeCell="F8" sqref="F8"/>
    </sheetView>
  </sheetViews>
  <sheetFormatPr defaultRowHeight="15" x14ac:dyDescent="0.25"/>
  <cols>
    <col min="1" max="1" width="18" customWidth="1"/>
    <col min="2" max="2" width="8" customWidth="1"/>
    <col min="3" max="3" width="16" customWidth="1"/>
    <col min="4" max="4" width="12" customWidth="1"/>
    <col min="5" max="5" width="20" customWidth="1"/>
    <col min="6" max="7" width="18" customWidth="1"/>
    <col min="8" max="8" width="20" customWidth="1"/>
    <col min="9" max="9" width="22" customWidth="1"/>
  </cols>
  <sheetData>
    <row r="1" spans="1:10" ht="30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x14ac:dyDescent="0.25">
      <c r="A3" s="2" t="s">
        <v>10</v>
      </c>
      <c r="B3" s="3" t="s">
        <v>11</v>
      </c>
      <c r="C3" s="3" t="s">
        <v>12</v>
      </c>
      <c r="D3" s="3" t="s">
        <v>13</v>
      </c>
      <c r="E3" s="4">
        <v>198270</v>
      </c>
      <c r="F3" s="4">
        <v>72738</v>
      </c>
      <c r="G3" s="4">
        <v>364840</v>
      </c>
      <c r="H3" s="4">
        <v>198298</v>
      </c>
      <c r="I3" s="4">
        <v>89035</v>
      </c>
    </row>
    <row r="4" spans="1:10" x14ac:dyDescent="0.25">
      <c r="A4" s="5" t="s">
        <v>10</v>
      </c>
      <c r="B4" s="6" t="s">
        <v>11</v>
      </c>
      <c r="C4" s="6" t="s">
        <v>12</v>
      </c>
      <c r="D4" s="6" t="s">
        <v>14</v>
      </c>
      <c r="E4" s="7">
        <v>211915</v>
      </c>
      <c r="F4" s="7">
        <v>72361</v>
      </c>
      <c r="G4" s="7">
        <v>411976</v>
      </c>
      <c r="H4" s="7">
        <v>205753</v>
      </c>
      <c r="I4" s="7">
        <v>87582</v>
      </c>
    </row>
    <row r="5" spans="1:10" x14ac:dyDescent="0.25">
      <c r="A5" s="2" t="s">
        <v>10</v>
      </c>
      <c r="B5" s="3" t="s">
        <v>11</v>
      </c>
      <c r="C5" s="3" t="s">
        <v>12</v>
      </c>
      <c r="D5" s="3" t="s">
        <v>15</v>
      </c>
      <c r="E5" s="4">
        <v>245122</v>
      </c>
      <c r="F5" s="4">
        <v>88136</v>
      </c>
      <c r="G5" s="4">
        <v>512163</v>
      </c>
      <c r="H5" s="4">
        <v>243686</v>
      </c>
      <c r="I5" s="4">
        <v>118548</v>
      </c>
    </row>
    <row r="6" spans="1:10" x14ac:dyDescent="0.25">
      <c r="A6" s="5" t="s">
        <v>16</v>
      </c>
      <c r="B6" s="6" t="s">
        <v>17</v>
      </c>
      <c r="C6" s="6" t="s">
        <v>18</v>
      </c>
      <c r="D6" s="6" t="s">
        <v>13</v>
      </c>
      <c r="E6" s="7">
        <v>394328</v>
      </c>
      <c r="F6" s="7">
        <v>99803</v>
      </c>
      <c r="G6" s="7">
        <v>352755</v>
      </c>
      <c r="H6" s="7">
        <v>302083</v>
      </c>
      <c r="I6" s="7">
        <v>122151</v>
      </c>
    </row>
    <row r="7" spans="1:10" x14ac:dyDescent="0.25">
      <c r="A7" s="2" t="s">
        <v>16</v>
      </c>
      <c r="B7" s="3" t="s">
        <v>17</v>
      </c>
      <c r="C7" s="3" t="s">
        <v>18</v>
      </c>
      <c r="D7" s="3" t="s">
        <v>14</v>
      </c>
      <c r="E7" s="4">
        <v>383285</v>
      </c>
      <c r="F7" s="4">
        <v>96995</v>
      </c>
      <c r="G7" s="4">
        <v>352583</v>
      </c>
      <c r="H7" s="4">
        <v>290437</v>
      </c>
      <c r="I7" s="4">
        <v>113736</v>
      </c>
    </row>
    <row r="8" spans="1:10" x14ac:dyDescent="0.25">
      <c r="A8" s="5" t="s">
        <v>16</v>
      </c>
      <c r="B8" s="6" t="s">
        <v>17</v>
      </c>
      <c r="C8" s="6" t="s">
        <v>18</v>
      </c>
      <c r="D8" s="6" t="s">
        <v>15</v>
      </c>
      <c r="E8" s="7">
        <v>391035</v>
      </c>
      <c r="F8" s="7">
        <v>93736</v>
      </c>
      <c r="G8" s="7">
        <v>364980</v>
      </c>
      <c r="H8" s="7">
        <v>308030</v>
      </c>
      <c r="I8" s="7">
        <v>118254</v>
      </c>
    </row>
    <row r="9" spans="1:10" x14ac:dyDescent="0.25">
      <c r="A9" s="2" t="s">
        <v>19</v>
      </c>
      <c r="B9" s="3" t="s">
        <v>20</v>
      </c>
      <c r="C9" s="3" t="s">
        <v>21</v>
      </c>
      <c r="D9" s="3" t="s">
        <v>13</v>
      </c>
      <c r="E9" s="4">
        <v>81462</v>
      </c>
      <c r="F9" s="4">
        <v>12556</v>
      </c>
      <c r="G9" s="4">
        <v>82338</v>
      </c>
      <c r="H9" s="4">
        <v>36440</v>
      </c>
      <c r="I9" s="4">
        <v>14485</v>
      </c>
    </row>
    <row r="10" spans="1:10" x14ac:dyDescent="0.25">
      <c r="A10" s="5" t="s">
        <v>19</v>
      </c>
      <c r="B10" s="6" t="s">
        <v>20</v>
      </c>
      <c r="C10" s="6" t="s">
        <v>21</v>
      </c>
      <c r="D10" s="6" t="s">
        <v>14</v>
      </c>
      <c r="E10" s="7">
        <v>96773</v>
      </c>
      <c r="F10" s="7">
        <v>14997</v>
      </c>
      <c r="G10" s="7">
        <v>106618</v>
      </c>
      <c r="H10" s="7">
        <v>43009</v>
      </c>
      <c r="I10" s="7">
        <v>13256</v>
      </c>
    </row>
    <row r="11" spans="1:10" x14ac:dyDescent="0.25">
      <c r="A11" s="2" t="s">
        <v>19</v>
      </c>
      <c r="B11" s="3" t="s">
        <v>20</v>
      </c>
      <c r="C11" s="3" t="s">
        <v>21</v>
      </c>
      <c r="D11" s="3" t="s">
        <v>15</v>
      </c>
      <c r="E11" s="4">
        <v>97690</v>
      </c>
      <c r="F11" s="4">
        <v>7263</v>
      </c>
      <c r="G11" s="4">
        <v>122070</v>
      </c>
      <c r="H11" s="4">
        <v>50521</v>
      </c>
      <c r="I11" s="4">
        <v>14923</v>
      </c>
    </row>
    <row r="13" spans="1:10" x14ac:dyDescent="0.25">
      <c r="A13" s="8" t="s">
        <v>22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L10" sqref="L10"/>
    </sheetView>
  </sheetViews>
  <sheetFormatPr defaultRowHeight="15" x14ac:dyDescent="0.25"/>
  <cols>
    <col min="1" max="1" width="18" customWidth="1"/>
    <col min="2" max="2" width="8" customWidth="1"/>
    <col min="3" max="3" width="16" customWidth="1"/>
    <col min="4" max="4" width="12" customWidth="1"/>
    <col min="5" max="5" width="18" customWidth="1"/>
    <col min="6" max="6" width="20" customWidth="1"/>
    <col min="7" max="7" width="15" customWidth="1"/>
    <col min="8" max="8" width="22" customWidth="1"/>
    <col min="9" max="9" width="12" customWidth="1"/>
    <col min="10" max="10" width="10" customWidth="1"/>
    <col min="11" max="11" width="16" customWidth="1"/>
    <col min="12" max="12" width="18" customWidth="1"/>
  </cols>
  <sheetData>
    <row r="1" spans="1:12" ht="30" customHeight="1" x14ac:dyDescent="0.25">
      <c r="A1" s="26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</row>
    <row r="3" spans="1:12" x14ac:dyDescent="0.25">
      <c r="A3" s="9" t="str">
        <f>'Raw Data (USD Millions)'!A3</f>
        <v>Microsoft</v>
      </c>
      <c r="B3" s="10" t="str">
        <f>'Raw Data (USD Millions)'!B3</f>
        <v>MSFT</v>
      </c>
      <c r="C3" s="10" t="str">
        <f>'Raw Data (USD Millions)'!C3</f>
        <v>June 30</v>
      </c>
      <c r="D3" s="10" t="str">
        <f>'Raw Data (USD Millions)'!D3</f>
        <v>2022</v>
      </c>
      <c r="E3" s="10" t="s">
        <v>32</v>
      </c>
      <c r="F3" s="10" t="s">
        <v>32</v>
      </c>
      <c r="G3" s="10" t="s">
        <v>32</v>
      </c>
      <c r="H3" s="11">
        <f>'Raw Data (USD Millions)'!F3/'Raw Data (USD Millions)'!E3</f>
        <v>0.36686336813436221</v>
      </c>
      <c r="I3" s="12">
        <f>'Raw Data (USD Millions)'!H3/'Raw Data (USD Millions)'!G3</f>
        <v>0.54352044731937288</v>
      </c>
      <c r="J3" s="11">
        <f>'Raw Data (USD Millions)'!F3/'Raw Data (USD Millions)'!G3</f>
        <v>0.19936958666812848</v>
      </c>
      <c r="K3" s="11">
        <f>'Raw Data (USD Millions)'!I3/'Raw Data (USD Millions)'!E3</f>
        <v>0.44905936349422504</v>
      </c>
      <c r="L3" s="13">
        <f>'Raw Data (USD Millions)'!G3-'Raw Data (USD Millions)'!H3</f>
        <v>166542</v>
      </c>
    </row>
    <row r="4" spans="1:12" x14ac:dyDescent="0.25">
      <c r="A4" s="14" t="str">
        <f>'Raw Data (USD Millions)'!A4</f>
        <v>Microsoft</v>
      </c>
      <c r="B4" s="15" t="str">
        <f>'Raw Data (USD Millions)'!B4</f>
        <v>MSFT</v>
      </c>
      <c r="C4" s="15" t="str">
        <f>'Raw Data (USD Millions)'!C4</f>
        <v>June 30</v>
      </c>
      <c r="D4" s="15" t="str">
        <f>'Raw Data (USD Millions)'!D4</f>
        <v>2023</v>
      </c>
      <c r="E4" s="16">
        <f>('Raw Data (USD Millions)'!E4-'Raw Data (USD Millions)'!E3)/'Raw Data (USD Millions)'!E3</f>
        <v>6.8820295556564284E-2</v>
      </c>
      <c r="F4" s="16">
        <f>('Raw Data (USD Millions)'!F4-'Raw Data (USD Millions)'!F3)/'Raw Data (USD Millions)'!F3</f>
        <v>-5.1829855096373282E-3</v>
      </c>
      <c r="G4" s="16">
        <f>('Raw Data (USD Millions)'!G4-'Raw Data (USD Millions)'!G3)/'Raw Data (USD Millions)'!G3</f>
        <v>0.12919636004824031</v>
      </c>
      <c r="H4" s="16">
        <f>'Raw Data (USD Millions)'!F4/'Raw Data (USD Millions)'!E4</f>
        <v>0.34146237878394642</v>
      </c>
      <c r="I4" s="17">
        <f>'Raw Data (USD Millions)'!H4/'Raw Data (USD Millions)'!G4</f>
        <v>0.499429578422044</v>
      </c>
      <c r="J4" s="16">
        <f>'Raw Data (USD Millions)'!F4/'Raw Data (USD Millions)'!G4</f>
        <v>0.175643726819038</v>
      </c>
      <c r="K4" s="16">
        <f>'Raw Data (USD Millions)'!I4/'Raw Data (USD Millions)'!E4</f>
        <v>0.4132883467427978</v>
      </c>
      <c r="L4" s="18">
        <f>'Raw Data (USD Millions)'!G4-'Raw Data (USD Millions)'!H4</f>
        <v>206223</v>
      </c>
    </row>
    <row r="5" spans="1:12" x14ac:dyDescent="0.25">
      <c r="A5" s="9" t="str">
        <f>'Raw Data (USD Millions)'!A5</f>
        <v>Microsoft</v>
      </c>
      <c r="B5" s="10" t="str">
        <f>'Raw Data (USD Millions)'!B5</f>
        <v>MSFT</v>
      </c>
      <c r="C5" s="10" t="str">
        <f>'Raw Data (USD Millions)'!C5</f>
        <v>June 30</v>
      </c>
      <c r="D5" s="10" t="str">
        <f>'Raw Data (USD Millions)'!D5</f>
        <v>2024</v>
      </c>
      <c r="E5" s="11">
        <f>('Raw Data (USD Millions)'!E5-'Raw Data (USD Millions)'!E4)/'Raw Data (USD Millions)'!E4</f>
        <v>0.15669962013071279</v>
      </c>
      <c r="F5" s="11">
        <f>('Raw Data (USD Millions)'!F5-'Raw Data (USD Millions)'!F4)/'Raw Data (USD Millions)'!F4</f>
        <v>0.21800417351888449</v>
      </c>
      <c r="G5" s="11">
        <f>('Raw Data (USD Millions)'!G5-'Raw Data (USD Millions)'!G4)/'Raw Data (USD Millions)'!G4</f>
        <v>0.24318649630075539</v>
      </c>
      <c r="H5" s="11">
        <f>'Raw Data (USD Millions)'!F5/'Raw Data (USD Millions)'!E5</f>
        <v>0.35955972944084985</v>
      </c>
      <c r="I5" s="12">
        <f>'Raw Data (USD Millions)'!H5/'Raw Data (USD Millions)'!G5</f>
        <v>0.47579774407756903</v>
      </c>
      <c r="J5" s="11">
        <f>'Raw Data (USD Millions)'!F5/'Raw Data (USD Millions)'!G5</f>
        <v>0.17208583985957596</v>
      </c>
      <c r="K5" s="11">
        <f>'Raw Data (USD Millions)'!I5/'Raw Data (USD Millions)'!E5</f>
        <v>0.48362856047192826</v>
      </c>
      <c r="L5" s="13">
        <f>'Raw Data (USD Millions)'!G5-'Raw Data (USD Millions)'!H5</f>
        <v>268477</v>
      </c>
    </row>
    <row r="6" spans="1:12" x14ac:dyDescent="0.25">
      <c r="A6" s="14" t="str">
        <f>'Raw Data (USD Millions)'!A6</f>
        <v>Apple</v>
      </c>
      <c r="B6" s="15" t="str">
        <f>'Raw Data (USD Millions)'!B6</f>
        <v>AAPL</v>
      </c>
      <c r="C6" s="15" t="str">
        <f>'Raw Data (USD Millions)'!C6</f>
        <v>September 30</v>
      </c>
      <c r="D6" s="15" t="str">
        <f>'Raw Data (USD Millions)'!D6</f>
        <v>2022</v>
      </c>
      <c r="E6" s="15" t="s">
        <v>32</v>
      </c>
      <c r="F6" s="15" t="s">
        <v>32</v>
      </c>
      <c r="G6" s="15" t="s">
        <v>32</v>
      </c>
      <c r="H6" s="16">
        <f>'Raw Data (USD Millions)'!F6/'Raw Data (USD Millions)'!E6</f>
        <v>0.25309640705199732</v>
      </c>
      <c r="I6" s="17">
        <f>'Raw Data (USD Millions)'!H6/'Raw Data (USD Millions)'!G6</f>
        <v>0.85635355983614692</v>
      </c>
      <c r="J6" s="16">
        <f>'Raw Data (USD Millions)'!F6/'Raw Data (USD Millions)'!G6</f>
        <v>0.28292440929256851</v>
      </c>
      <c r="K6" s="16">
        <f>'Raw Data (USD Millions)'!I6/'Raw Data (USD Millions)'!E6</f>
        <v>0.30977003915522106</v>
      </c>
      <c r="L6" s="18">
        <f>'Raw Data (USD Millions)'!G6-'Raw Data (USD Millions)'!H6</f>
        <v>50672</v>
      </c>
    </row>
    <row r="7" spans="1:12" x14ac:dyDescent="0.25">
      <c r="A7" s="9" t="str">
        <f>'Raw Data (USD Millions)'!A7</f>
        <v>Apple</v>
      </c>
      <c r="B7" s="10" t="str">
        <f>'Raw Data (USD Millions)'!B7</f>
        <v>AAPL</v>
      </c>
      <c r="C7" s="10" t="str">
        <f>'Raw Data (USD Millions)'!C7</f>
        <v>September 30</v>
      </c>
      <c r="D7" s="10" t="str">
        <f>'Raw Data (USD Millions)'!D7</f>
        <v>2023</v>
      </c>
      <c r="E7" s="11">
        <f>('Raw Data (USD Millions)'!E7-'Raw Data (USD Millions)'!E6)/'Raw Data (USD Millions)'!E6</f>
        <v>-2.8004605303199367E-2</v>
      </c>
      <c r="F7" s="11">
        <f>('Raw Data (USD Millions)'!F7-'Raw Data (USD Millions)'!F6)/'Raw Data (USD Millions)'!F6</f>
        <v>-2.8135426790777834E-2</v>
      </c>
      <c r="G7" s="11">
        <f>('Raw Data (USD Millions)'!G7-'Raw Data (USD Millions)'!G6)/'Raw Data (USD Millions)'!G6</f>
        <v>-4.8759053734178114E-4</v>
      </c>
      <c r="H7" s="11">
        <f>'Raw Data (USD Millions)'!F7/'Raw Data (USD Millions)'!E7</f>
        <v>0.25306234264320282</v>
      </c>
      <c r="I7" s="12">
        <f>'Raw Data (USD Millions)'!H7/'Raw Data (USD Millions)'!G7</f>
        <v>0.82374079294804348</v>
      </c>
      <c r="J7" s="11">
        <f>'Raw Data (USD Millions)'!F7/'Raw Data (USD Millions)'!G7</f>
        <v>0.27509834563776475</v>
      </c>
      <c r="K7" s="11">
        <f>'Raw Data (USD Millions)'!I7/'Raw Data (USD Millions)'!E7</f>
        <v>0.29674002374212399</v>
      </c>
      <c r="L7" s="13">
        <f>'Raw Data (USD Millions)'!G7-'Raw Data (USD Millions)'!H7</f>
        <v>62146</v>
      </c>
    </row>
    <row r="8" spans="1:12" x14ac:dyDescent="0.25">
      <c r="A8" s="14" t="str">
        <f>'Raw Data (USD Millions)'!A8</f>
        <v>Apple</v>
      </c>
      <c r="B8" s="15" t="str">
        <f>'Raw Data (USD Millions)'!B8</f>
        <v>AAPL</v>
      </c>
      <c r="C8" s="15" t="str">
        <f>'Raw Data (USD Millions)'!C8</f>
        <v>September 30</v>
      </c>
      <c r="D8" s="15" t="str">
        <f>'Raw Data (USD Millions)'!D8</f>
        <v>2024</v>
      </c>
      <c r="E8" s="16">
        <f>('Raw Data (USD Millions)'!E8-'Raw Data (USD Millions)'!E7)/'Raw Data (USD Millions)'!E7</f>
        <v>2.0219940775141214E-2</v>
      </c>
      <c r="F8" s="16">
        <f>('Raw Data (USD Millions)'!F8-'Raw Data (USD Millions)'!F7)/'Raw Data (USD Millions)'!F7</f>
        <v>-3.3599670086086914E-2</v>
      </c>
      <c r="G8" s="16">
        <f>('Raw Data (USD Millions)'!G8-'Raw Data (USD Millions)'!G7)/'Raw Data (USD Millions)'!G7</f>
        <v>3.5160515396374756E-2</v>
      </c>
      <c r="H8" s="16">
        <f>'Raw Data (USD Millions)'!F8/'Raw Data (USD Millions)'!E8</f>
        <v>0.23971255769943867</v>
      </c>
      <c r="I8" s="17">
        <f>'Raw Data (USD Millions)'!H8/'Raw Data (USD Millions)'!G8</f>
        <v>0.84396405282481235</v>
      </c>
      <c r="J8" s="16">
        <f>'Raw Data (USD Millions)'!F8/'Raw Data (USD Millions)'!G8</f>
        <v>0.25682503150857583</v>
      </c>
      <c r="K8" s="16">
        <f>'Raw Data (USD Millions)'!I8/'Raw Data (USD Millions)'!E8</f>
        <v>0.30241282749625992</v>
      </c>
      <c r="L8" s="18">
        <f>'Raw Data (USD Millions)'!G8-'Raw Data (USD Millions)'!H8</f>
        <v>56950</v>
      </c>
    </row>
    <row r="9" spans="1:12" x14ac:dyDescent="0.25">
      <c r="A9" s="9" t="str">
        <f>'Raw Data (USD Millions)'!A9</f>
        <v>Tesla</v>
      </c>
      <c r="B9" s="10" t="str">
        <f>'Raw Data (USD Millions)'!B9</f>
        <v>TSLA</v>
      </c>
      <c r="C9" s="10" t="str">
        <f>'Raw Data (USD Millions)'!C9</f>
        <v>December 31</v>
      </c>
      <c r="D9" s="10" t="str">
        <f>'Raw Data (USD Millions)'!D9</f>
        <v>2022</v>
      </c>
      <c r="E9" s="10" t="s">
        <v>32</v>
      </c>
      <c r="F9" s="10" t="s">
        <v>32</v>
      </c>
      <c r="G9" s="10" t="s">
        <v>32</v>
      </c>
      <c r="H9" s="11">
        <f>'Raw Data (USD Millions)'!F9/'Raw Data (USD Millions)'!E9</f>
        <v>0.15413321548697553</v>
      </c>
      <c r="I9" s="12">
        <f>'Raw Data (USD Millions)'!H9/'Raw Data (USD Millions)'!G9</f>
        <v>0.44256600840438193</v>
      </c>
      <c r="J9" s="11">
        <f>'Raw Data (USD Millions)'!F9/'Raw Data (USD Millions)'!G9</f>
        <v>0.1524933809419709</v>
      </c>
      <c r="K9" s="11">
        <f>'Raw Data (USD Millions)'!I9/'Raw Data (USD Millions)'!E9</f>
        <v>0.17781296800962412</v>
      </c>
      <c r="L9" s="13">
        <f>'Raw Data (USD Millions)'!G9-'Raw Data (USD Millions)'!H9</f>
        <v>45898</v>
      </c>
    </row>
    <row r="10" spans="1:12" x14ac:dyDescent="0.25">
      <c r="A10" s="14" t="str">
        <f>'Raw Data (USD Millions)'!A10</f>
        <v>Tesla</v>
      </c>
      <c r="B10" s="15" t="str">
        <f>'Raw Data (USD Millions)'!B10</f>
        <v>TSLA</v>
      </c>
      <c r="C10" s="15" t="str">
        <f>'Raw Data (USD Millions)'!C10</f>
        <v>December 31</v>
      </c>
      <c r="D10" s="15" t="str">
        <f>'Raw Data (USD Millions)'!D10</f>
        <v>2023</v>
      </c>
      <c r="E10" s="16">
        <f>('Raw Data (USD Millions)'!E10-'Raw Data (USD Millions)'!E9)/'Raw Data (USD Millions)'!E9</f>
        <v>0.18795266504627925</v>
      </c>
      <c r="F10" s="16">
        <f>('Raw Data (USD Millions)'!F10-'Raw Data (USD Millions)'!F9)/'Raw Data (USD Millions)'!F9</f>
        <v>0.1944090474673463</v>
      </c>
      <c r="G10" s="16">
        <f>('Raw Data (USD Millions)'!G10-'Raw Data (USD Millions)'!G9)/'Raw Data (USD Millions)'!G9</f>
        <v>0.29488207146153661</v>
      </c>
      <c r="H10" s="16">
        <f>'Raw Data (USD Millions)'!F10/'Raw Data (USD Millions)'!E10</f>
        <v>0.15497091130790613</v>
      </c>
      <c r="I10" s="17">
        <f>'Raw Data (USD Millions)'!H10/'Raw Data (USD Millions)'!G10</f>
        <v>0.40339342324935751</v>
      </c>
      <c r="J10" s="16">
        <f>'Raw Data (USD Millions)'!F10/'Raw Data (USD Millions)'!G10</f>
        <v>0.1406610516047947</v>
      </c>
      <c r="K10" s="16">
        <f>'Raw Data (USD Millions)'!I10/'Raw Data (USD Millions)'!E10</f>
        <v>0.13698035609105846</v>
      </c>
      <c r="L10" s="18">
        <f>'Raw Data (USD Millions)'!G10-'Raw Data (USD Millions)'!H10</f>
        <v>63609</v>
      </c>
    </row>
    <row r="11" spans="1:12" x14ac:dyDescent="0.25">
      <c r="A11" s="9" t="str">
        <f>'Raw Data (USD Millions)'!A11</f>
        <v>Tesla</v>
      </c>
      <c r="B11" s="10" t="str">
        <f>'Raw Data (USD Millions)'!B11</f>
        <v>TSLA</v>
      </c>
      <c r="C11" s="10" t="str">
        <f>'Raw Data (USD Millions)'!C11</f>
        <v>December 31</v>
      </c>
      <c r="D11" s="10" t="str">
        <f>'Raw Data (USD Millions)'!D11</f>
        <v>2024</v>
      </c>
      <c r="E11" s="11">
        <f>('Raw Data (USD Millions)'!E11-'Raw Data (USD Millions)'!E10)/'Raw Data (USD Millions)'!E10</f>
        <v>9.4757835346635944E-3</v>
      </c>
      <c r="F11" s="11">
        <f>('Raw Data (USD Millions)'!F11-'Raw Data (USD Millions)'!F10)/'Raw Data (USD Millions)'!F10</f>
        <v>-0.51570314062812561</v>
      </c>
      <c r="G11" s="11">
        <f>('Raw Data (USD Millions)'!G11-'Raw Data (USD Millions)'!G10)/'Raw Data (USD Millions)'!G10</f>
        <v>0.14492862368455608</v>
      </c>
      <c r="H11" s="11">
        <f>'Raw Data (USD Millions)'!F11/'Raw Data (USD Millions)'!E11</f>
        <v>7.434742552973693E-2</v>
      </c>
      <c r="I11" s="12">
        <f>'Raw Data (USD Millions)'!H11/'Raw Data (USD Millions)'!G11</f>
        <v>0.41386909150487428</v>
      </c>
      <c r="J11" s="11">
        <f>'Raw Data (USD Millions)'!F11/'Raw Data (USD Millions)'!G11</f>
        <v>5.9498648316539691E-2</v>
      </c>
      <c r="K11" s="11">
        <f>'Raw Data (USD Millions)'!I11/'Raw Data (USD Millions)'!E11</f>
        <v>0.15275872658409254</v>
      </c>
      <c r="L11" s="13">
        <f>'Raw Data (USD Millions)'!G11-'Raw Data (USD Millions)'!H11</f>
        <v>71549</v>
      </c>
    </row>
    <row r="15" spans="1:12" x14ac:dyDescent="0.25">
      <c r="A15" s="8" t="s">
        <v>33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showGridLines="0" tabSelected="1" zoomScale="180" workbookViewId="0">
      <selection sqref="A1:F1"/>
    </sheetView>
  </sheetViews>
  <sheetFormatPr defaultRowHeight="15" x14ac:dyDescent="0.25"/>
  <cols>
    <col min="1" max="1" width="22" customWidth="1"/>
    <col min="2" max="6" width="16" customWidth="1"/>
  </cols>
  <sheetData>
    <row r="1" spans="1:6" ht="27.95" customHeight="1" x14ac:dyDescent="0.25">
      <c r="A1" s="26" t="s">
        <v>34</v>
      </c>
      <c r="B1" s="27"/>
      <c r="C1" s="27"/>
      <c r="D1" s="27"/>
      <c r="E1" s="27"/>
      <c r="F1" s="27"/>
    </row>
    <row r="3" spans="1:6" ht="20.100000000000001" customHeight="1" x14ac:dyDescent="0.25">
      <c r="A3" s="28" t="s">
        <v>35</v>
      </c>
      <c r="B3" s="27"/>
      <c r="C3" s="27"/>
      <c r="D3" s="27"/>
      <c r="E3" s="27"/>
      <c r="F3" s="27"/>
    </row>
    <row r="4" spans="1:6" x14ac:dyDescent="0.25">
      <c r="A4" s="19" t="s">
        <v>36</v>
      </c>
      <c r="B4" s="19" t="s">
        <v>37</v>
      </c>
      <c r="C4" s="19" t="s">
        <v>38</v>
      </c>
      <c r="D4" s="19" t="s">
        <v>39</v>
      </c>
      <c r="E4" s="19" t="s">
        <v>40</v>
      </c>
      <c r="F4" s="19" t="s">
        <v>41</v>
      </c>
    </row>
    <row r="5" spans="1:6" x14ac:dyDescent="0.25">
      <c r="A5" s="20" t="s">
        <v>5</v>
      </c>
      <c r="B5" s="21">
        <v>198270</v>
      </c>
      <c r="C5" s="21">
        <v>211915</v>
      </c>
      <c r="D5" s="21">
        <v>245122</v>
      </c>
      <c r="E5" s="22">
        <f t="shared" ref="E5:F9" si="0">(C5-B5)/B5</f>
        <v>6.8820295556564284E-2</v>
      </c>
      <c r="F5" s="22">
        <f t="shared" si="0"/>
        <v>0.15669962013071279</v>
      </c>
    </row>
    <row r="6" spans="1:6" x14ac:dyDescent="0.25">
      <c r="A6" s="23" t="s">
        <v>6</v>
      </c>
      <c r="B6" s="24">
        <v>72738</v>
      </c>
      <c r="C6" s="24">
        <v>72361</v>
      </c>
      <c r="D6" s="24">
        <v>88136</v>
      </c>
      <c r="E6" s="25">
        <f t="shared" si="0"/>
        <v>-5.1829855096373282E-3</v>
      </c>
      <c r="F6" s="25">
        <f t="shared" si="0"/>
        <v>0.21800417351888449</v>
      </c>
    </row>
    <row r="7" spans="1:6" x14ac:dyDescent="0.25">
      <c r="A7" s="20" t="s">
        <v>7</v>
      </c>
      <c r="B7" s="21">
        <v>364840</v>
      </c>
      <c r="C7" s="21">
        <v>411976</v>
      </c>
      <c r="D7" s="21">
        <v>512163</v>
      </c>
      <c r="E7" s="22">
        <f t="shared" si="0"/>
        <v>0.12919636004824031</v>
      </c>
      <c r="F7" s="22">
        <f t="shared" si="0"/>
        <v>0.24318649630075539</v>
      </c>
    </row>
    <row r="8" spans="1:6" x14ac:dyDescent="0.25">
      <c r="A8" s="23" t="s">
        <v>8</v>
      </c>
      <c r="B8" s="24">
        <v>198298</v>
      </c>
      <c r="C8" s="24">
        <v>205753</v>
      </c>
      <c r="D8" s="24">
        <v>243686</v>
      </c>
      <c r="E8" s="25">
        <f t="shared" si="0"/>
        <v>3.7594932878798573E-2</v>
      </c>
      <c r="F8" s="25">
        <f t="shared" si="0"/>
        <v>0.1843618319052456</v>
      </c>
    </row>
    <row r="9" spans="1:6" x14ac:dyDescent="0.25">
      <c r="A9" s="20" t="s">
        <v>9</v>
      </c>
      <c r="B9" s="21">
        <v>89035</v>
      </c>
      <c r="C9" s="21">
        <v>87582</v>
      </c>
      <c r="D9" s="21">
        <v>118548</v>
      </c>
      <c r="E9" s="22">
        <f t="shared" si="0"/>
        <v>-1.6319424945246252E-2</v>
      </c>
      <c r="F9" s="22">
        <f t="shared" si="0"/>
        <v>0.35356580119202574</v>
      </c>
    </row>
    <row r="11" spans="1:6" ht="20.100000000000001" customHeight="1" x14ac:dyDescent="0.25">
      <c r="A11" s="28" t="s">
        <v>42</v>
      </c>
      <c r="B11" s="27"/>
      <c r="C11" s="27"/>
      <c r="D11" s="27"/>
      <c r="E11" s="27"/>
      <c r="F11" s="27"/>
    </row>
    <row r="12" spans="1:6" x14ac:dyDescent="0.25">
      <c r="A12" s="19" t="s">
        <v>36</v>
      </c>
      <c r="B12" s="19" t="s">
        <v>37</v>
      </c>
      <c r="C12" s="19" t="s">
        <v>38</v>
      </c>
      <c r="D12" s="19" t="s">
        <v>39</v>
      </c>
      <c r="E12" s="19" t="s">
        <v>40</v>
      </c>
      <c r="F12" s="19" t="s">
        <v>41</v>
      </c>
    </row>
    <row r="13" spans="1:6" x14ac:dyDescent="0.25">
      <c r="A13" s="20" t="s">
        <v>5</v>
      </c>
      <c r="B13" s="21">
        <v>394328</v>
      </c>
      <c r="C13" s="21">
        <v>383285</v>
      </c>
      <c r="D13" s="21">
        <v>391035</v>
      </c>
      <c r="E13" s="22">
        <f t="shared" ref="E13:F17" si="1">(C13-B13)/B13</f>
        <v>-2.8004605303199367E-2</v>
      </c>
      <c r="F13" s="22">
        <f t="shared" si="1"/>
        <v>2.0219940775141214E-2</v>
      </c>
    </row>
    <row r="14" spans="1:6" x14ac:dyDescent="0.25">
      <c r="A14" s="23" t="s">
        <v>6</v>
      </c>
      <c r="B14" s="24">
        <v>99803</v>
      </c>
      <c r="C14" s="24">
        <v>96995</v>
      </c>
      <c r="D14" s="24">
        <v>93736</v>
      </c>
      <c r="E14" s="25">
        <f t="shared" si="1"/>
        <v>-2.8135426790777834E-2</v>
      </c>
      <c r="F14" s="25">
        <f t="shared" si="1"/>
        <v>-3.3599670086086914E-2</v>
      </c>
    </row>
    <row r="15" spans="1:6" x14ac:dyDescent="0.25">
      <c r="A15" s="20" t="s">
        <v>7</v>
      </c>
      <c r="B15" s="21">
        <v>352755</v>
      </c>
      <c r="C15" s="21">
        <v>352583</v>
      </c>
      <c r="D15" s="21">
        <v>364980</v>
      </c>
      <c r="E15" s="22">
        <f t="shared" si="1"/>
        <v>-4.8759053734178114E-4</v>
      </c>
      <c r="F15" s="22">
        <f t="shared" si="1"/>
        <v>3.5160515396374756E-2</v>
      </c>
    </row>
    <row r="16" spans="1:6" x14ac:dyDescent="0.25">
      <c r="A16" s="23" t="s">
        <v>8</v>
      </c>
      <c r="B16" s="24">
        <v>302083</v>
      </c>
      <c r="C16" s="24">
        <v>290437</v>
      </c>
      <c r="D16" s="24">
        <v>308030</v>
      </c>
      <c r="E16" s="25">
        <f t="shared" si="1"/>
        <v>-3.8552318402558239E-2</v>
      </c>
      <c r="F16" s="25">
        <f t="shared" si="1"/>
        <v>6.0574238130816666E-2</v>
      </c>
    </row>
    <row r="17" spans="1:6" x14ac:dyDescent="0.25">
      <c r="A17" s="20" t="s">
        <v>9</v>
      </c>
      <c r="B17" s="21">
        <v>122151</v>
      </c>
      <c r="C17" s="21">
        <v>113736</v>
      </c>
      <c r="D17" s="21">
        <v>118254</v>
      </c>
      <c r="E17" s="22">
        <f t="shared" si="1"/>
        <v>-6.8890144165827547E-2</v>
      </c>
      <c r="F17" s="22">
        <f t="shared" si="1"/>
        <v>3.9723570373496518E-2</v>
      </c>
    </row>
    <row r="19" spans="1:6" ht="20.100000000000001" customHeight="1" x14ac:dyDescent="0.25">
      <c r="A19" s="28" t="s">
        <v>43</v>
      </c>
      <c r="B19" s="27"/>
      <c r="C19" s="27"/>
      <c r="D19" s="27"/>
      <c r="E19" s="27"/>
      <c r="F19" s="27"/>
    </row>
    <row r="20" spans="1:6" x14ac:dyDescent="0.25">
      <c r="A20" s="19" t="s">
        <v>36</v>
      </c>
      <c r="B20" s="19" t="s">
        <v>37</v>
      </c>
      <c r="C20" s="19" t="s">
        <v>38</v>
      </c>
      <c r="D20" s="19" t="s">
        <v>39</v>
      </c>
      <c r="E20" s="19" t="s">
        <v>40</v>
      </c>
      <c r="F20" s="19" t="s">
        <v>41</v>
      </c>
    </row>
    <row r="21" spans="1:6" x14ac:dyDescent="0.25">
      <c r="A21" s="20" t="s">
        <v>5</v>
      </c>
      <c r="B21" s="21">
        <v>81462</v>
      </c>
      <c r="C21" s="21">
        <v>96773</v>
      </c>
      <c r="D21" s="21">
        <v>97690</v>
      </c>
      <c r="E21" s="22">
        <f t="shared" ref="E21:F25" si="2">(C21-B21)/B21</f>
        <v>0.18795266504627925</v>
      </c>
      <c r="F21" s="22">
        <f t="shared" si="2"/>
        <v>9.4757835346635944E-3</v>
      </c>
    </row>
    <row r="22" spans="1:6" x14ac:dyDescent="0.25">
      <c r="A22" s="23" t="s">
        <v>6</v>
      </c>
      <c r="B22" s="24">
        <v>12556</v>
      </c>
      <c r="C22" s="24">
        <v>14997</v>
      </c>
      <c r="D22" s="24">
        <v>7263</v>
      </c>
      <c r="E22" s="25">
        <f t="shared" si="2"/>
        <v>0.1944090474673463</v>
      </c>
      <c r="F22" s="25">
        <f t="shared" si="2"/>
        <v>-0.51570314062812561</v>
      </c>
    </row>
    <row r="23" spans="1:6" x14ac:dyDescent="0.25">
      <c r="A23" s="20" t="s">
        <v>7</v>
      </c>
      <c r="B23" s="21">
        <v>82338</v>
      </c>
      <c r="C23" s="21">
        <v>106618</v>
      </c>
      <c r="D23" s="21">
        <v>122070</v>
      </c>
      <c r="E23" s="22">
        <f t="shared" si="2"/>
        <v>0.29488207146153661</v>
      </c>
      <c r="F23" s="22">
        <f t="shared" si="2"/>
        <v>0.14492862368455608</v>
      </c>
    </row>
    <row r="24" spans="1:6" x14ac:dyDescent="0.25">
      <c r="A24" s="23" t="s">
        <v>8</v>
      </c>
      <c r="B24" s="24">
        <v>36440</v>
      </c>
      <c r="C24" s="24">
        <v>43009</v>
      </c>
      <c r="D24" s="24">
        <v>50521</v>
      </c>
      <c r="E24" s="25">
        <f t="shared" si="2"/>
        <v>0.1802689352360044</v>
      </c>
      <c r="F24" s="25">
        <f t="shared" si="2"/>
        <v>0.1746611174405357</v>
      </c>
    </row>
    <row r="25" spans="1:6" x14ac:dyDescent="0.25">
      <c r="A25" s="20" t="s">
        <v>9</v>
      </c>
      <c r="B25" s="21">
        <v>14485</v>
      </c>
      <c r="C25" s="21">
        <v>13256</v>
      </c>
      <c r="D25" s="21">
        <v>14923</v>
      </c>
      <c r="E25" s="22">
        <f t="shared" si="2"/>
        <v>-8.4846392820158781E-2</v>
      </c>
      <c r="F25" s="22">
        <f t="shared" si="2"/>
        <v>0.1257543753771877</v>
      </c>
    </row>
    <row r="27" spans="1:6" x14ac:dyDescent="0.25">
      <c r="A27" s="8" t="s">
        <v>44</v>
      </c>
    </row>
  </sheetData>
  <mergeCells count="4">
    <mergeCell ref="A3:F3"/>
    <mergeCell ref="A11:F11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(USD Millions)</vt:lpstr>
      <vt:lpstr>YoY Growth &amp; Ratios</vt:lpstr>
      <vt:lpstr>Company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YADAV</cp:lastModifiedBy>
  <dcterms:created xsi:type="dcterms:W3CDTF">2026-04-16T03:46:15Z</dcterms:created>
  <dcterms:modified xsi:type="dcterms:W3CDTF">2026-04-16T04:33:47Z</dcterms:modified>
</cp:coreProperties>
</file>